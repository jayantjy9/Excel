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91766\Desktop\Finance\"/>
    </mc:Choice>
  </mc:AlternateContent>
  <xr:revisionPtr revIDLastSave="0" documentId="13_ncr:1_{FFAD986B-66B5-4A0F-8ED5-9733C56AC2DC}" xr6:coauthVersionLast="47" xr6:coauthVersionMax="47" xr10:uidLastSave="{00000000-0000-0000-0000-000000000000}"/>
  <bookViews>
    <workbookView xWindow="-110" yWindow="-110" windowWidth="19420" windowHeight="10300" xr2:uid="{F1652281-8E71-4B42-A32E-C726957FB9CA}"/>
  </bookViews>
  <sheets>
    <sheet name="Home" sheetId="1" r:id="rId1"/>
    <sheet name="Pivot Table" sheetId="5" r:id="rId2"/>
    <sheet name="Data" sheetId="2" r:id="rId3"/>
    <sheet name="Dashboard" sheetId="6" r:id="rId4"/>
  </sheets>
  <definedNames>
    <definedName name="Slicer_Date">#N/A</definedName>
    <definedName name="Slicer_Date1">#N/A</definedName>
    <definedName name="Slicer_Date2">#N/A</definedName>
    <definedName name="Slicer_Description">#N/A</definedName>
  </definedNames>
  <calcPr calcId="191029"/>
  <pivotCaches>
    <pivotCache cacheId="0" r:id="rId5"/>
    <pivotCache cacheId="1" r:id="rId6"/>
    <pivotCache cacheId="2" r:id="rId7"/>
  </pivotCaches>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4" i="2" l="1"/>
  <c r="L5" i="2"/>
  <c r="L6" i="2"/>
  <c r="L7" i="2"/>
  <c r="L8" i="2"/>
  <c r="L9" i="2"/>
  <c r="L10" i="2"/>
  <c r="L11" i="2"/>
  <c r="L12" i="2"/>
  <c r="L13" i="2"/>
  <c r="L14" i="2"/>
  <c r="L15" i="2"/>
  <c r="D4" i="1"/>
  <c r="Q22" i="6"/>
  <c r="Z22" i="6"/>
  <c r="E22" i="6"/>
</calcChain>
</file>

<file path=xl/sharedStrings.xml><?xml version="1.0" encoding="utf-8"?>
<sst xmlns="http://schemas.openxmlformats.org/spreadsheetml/2006/main" count="50" uniqueCount="32">
  <si>
    <t>Date</t>
  </si>
  <si>
    <t>Amount</t>
  </si>
  <si>
    <t>Description</t>
  </si>
  <si>
    <t>Expense</t>
  </si>
  <si>
    <t>Income</t>
  </si>
  <si>
    <t>Row Labels</t>
  </si>
  <si>
    <t>Grand Total</t>
  </si>
  <si>
    <t>Sum of Amount</t>
  </si>
  <si>
    <t>(blank)</t>
  </si>
  <si>
    <t>Pivot Income</t>
  </si>
  <si>
    <t>Pivot Expense</t>
  </si>
  <si>
    <t xml:space="preserve">Formula for finding </t>
  </si>
  <si>
    <t>Savings</t>
  </si>
  <si>
    <t>Pivot Savings</t>
  </si>
  <si>
    <t>Total Expenses</t>
  </si>
  <si>
    <t>Jan</t>
  </si>
  <si>
    <t>Feb</t>
  </si>
  <si>
    <t>Mar</t>
  </si>
  <si>
    <t>Total Savings</t>
  </si>
  <si>
    <t>Total Income</t>
  </si>
  <si>
    <t>Column Labels</t>
  </si>
  <si>
    <t>Apr</t>
  </si>
  <si>
    <t>May</t>
  </si>
  <si>
    <t>Jun</t>
  </si>
  <si>
    <t>Jul</t>
  </si>
  <si>
    <t>Aug</t>
  </si>
  <si>
    <t>Sep</t>
  </si>
  <si>
    <t>Oct</t>
  </si>
  <si>
    <t>Nov</t>
  </si>
  <si>
    <t>Dec</t>
  </si>
  <si>
    <t>2023</t>
  </si>
  <si>
    <t>add entry below Hcolumn for desc.--&gt;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</si>
</sst>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6"/>
      <color rgb="FFFF0000"/>
      <name val="Calibri"/>
      <family val="2"/>
      <scheme val="minor"/>
    </font>
    <font>
      <b/>
      <sz val="16"/>
      <color rgb="FF00B050"/>
      <name val="Calibri"/>
      <family val="2"/>
      <scheme val="minor"/>
    </font>
    <font>
      <b/>
      <sz val="16"/>
      <color rgb="FF92D050"/>
      <name val="Calibri"/>
      <family val="2"/>
      <scheme val="minor"/>
    </font>
    <font>
      <sz val="11"/>
      <color rgb="FFFF0000"/>
      <name val="Calibri"/>
      <family val="2"/>
      <scheme val="minor"/>
    </font>
    <font>
      <sz val="11"/>
      <color theme="4" tint="-0.499984740745262"/>
      <name val="Calibri"/>
      <family val="2"/>
      <scheme val="minor"/>
    </font>
  </fonts>
  <fills count="7">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theme="2" tint="-0.499984740745262"/>
        <bgColor indexed="64"/>
      </patternFill>
    </fill>
    <fill>
      <patternFill patternType="solid">
        <fgColor rgb="FFFFC000"/>
        <bgColor indexed="64"/>
      </patternFill>
    </fill>
    <fill>
      <patternFill patternType="solid">
        <fgColor theme="0" tint="-0.149998474074526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s>
  <cellStyleXfs count="1">
    <xf numFmtId="0" fontId="0" fillId="0" borderId="0"/>
  </cellStyleXfs>
  <cellXfs count="19">
    <xf numFmtId="0" fontId="0" fillId="0" borderId="0" xfId="0"/>
    <xf numFmtId="0" fontId="0" fillId="0" borderId="1" xfId="0" applyBorder="1"/>
    <xf numFmtId="0" fontId="0" fillId="0" borderId="0" xfId="0" pivotButton="1"/>
    <xf numFmtId="0" fontId="0" fillId="0" borderId="0" xfId="0" applyAlignment="1">
      <alignment horizontal="left"/>
    </xf>
    <xf numFmtId="14" fontId="0" fillId="0" borderId="1" xfId="0" applyNumberFormat="1" applyBorder="1"/>
    <xf numFmtId="0" fontId="0" fillId="4" borderId="0" xfId="0" applyFill="1"/>
    <xf numFmtId="14" fontId="0" fillId="0" borderId="0" xfId="0" applyNumberFormat="1"/>
    <xf numFmtId="0" fontId="0" fillId="0" borderId="2" xfId="0" applyBorder="1"/>
    <xf numFmtId="0" fontId="0" fillId="0" borderId="0" xfId="0" applyAlignment="1">
      <alignment horizontal="center"/>
    </xf>
    <xf numFmtId="0" fontId="4" fillId="0" borderId="0" xfId="0" applyFont="1"/>
    <xf numFmtId="14" fontId="0" fillId="0" borderId="0" xfId="0" applyNumberFormat="1" applyAlignment="1">
      <alignment horizontal="left" indent="1"/>
    </xf>
    <xf numFmtId="0" fontId="5" fillId="0" borderId="0" xfId="0" applyFont="1" applyAlignment="1">
      <alignment horizontal="center" wrapText="1"/>
    </xf>
    <xf numFmtId="0" fontId="0" fillId="0" borderId="0" xfId="0" applyAlignment="1">
      <alignment horizontal="center"/>
    </xf>
    <xf numFmtId="0" fontId="0" fillId="3" borderId="0" xfId="0" applyFill="1" applyAlignment="1">
      <alignment horizontal="center"/>
    </xf>
    <xf numFmtId="0" fontId="0" fillId="2" borderId="0" xfId="0" applyFill="1" applyAlignment="1">
      <alignment horizontal="center"/>
    </xf>
    <xf numFmtId="0" fontId="0" fillId="5" borderId="0" xfId="0" applyFill="1" applyAlignment="1">
      <alignment horizontal="center"/>
    </xf>
    <xf numFmtId="0" fontId="3" fillId="6" borderId="0" xfId="0" applyFont="1" applyFill="1" applyAlignment="1">
      <alignment horizontal="center"/>
    </xf>
    <xf numFmtId="0" fontId="1" fillId="6" borderId="0" xfId="0" applyFont="1" applyFill="1" applyAlignment="1">
      <alignment horizontal="center"/>
    </xf>
    <xf numFmtId="0" fontId="2" fillId="6" borderId="0" xfId="0" applyFont="1" applyFill="1" applyAlignment="1">
      <alignment horizontal="center"/>
    </xf>
  </cellXfs>
  <cellStyles count="1">
    <cellStyle name="Normal" xfId="0" builtinId="0"/>
  </cellStyles>
  <dxfs count="1">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3.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07/relationships/slicerCache" Target="slicerCaches/slicerCache4.xml"/><Relationship Id="rId5" Type="http://schemas.openxmlformats.org/officeDocument/2006/relationships/pivotCacheDefinition" Target="pivotCache/pivotCacheDefinition1.xml"/><Relationship Id="rId15" Type="http://schemas.openxmlformats.org/officeDocument/2006/relationships/calcChain" Target="calcChain.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of daybook.xlsm]Pivot Table!PivotTable1</c:name>
    <c:fmtId val="19"/>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Expenses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0000"/>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c:f>
              <c:strCache>
                <c:ptCount val="1"/>
                <c:pt idx="0">
                  <c:v>Total</c:v>
                </c:pt>
              </c:strCache>
            </c:strRef>
          </c:tx>
          <c:spPr>
            <a:solidFill>
              <a:srgbClr val="FF0000"/>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Table'!$A$4:$A$5</c:f>
              <c:strCache>
                <c:ptCount val="1"/>
                <c:pt idx="0">
                  <c:v>(blank)</c:v>
                </c:pt>
              </c:strCache>
            </c:strRef>
          </c:cat>
          <c:val>
            <c:numRef>
              <c:f>'Pivot Table'!$B$4:$B$5</c:f>
              <c:numCache>
                <c:formatCode>General</c:formatCode>
                <c:ptCount val="1"/>
              </c:numCache>
            </c:numRef>
          </c:val>
          <c:extLst>
            <c:ext xmlns:c16="http://schemas.microsoft.com/office/drawing/2014/chart" uri="{C3380CC4-5D6E-409C-BE32-E72D297353CC}">
              <c16:uniqueId val="{00000000-E03E-45D2-AFD3-C66CA3A0C5BD}"/>
            </c:ext>
          </c:extLst>
        </c:ser>
        <c:dLbls>
          <c:dLblPos val="inEnd"/>
          <c:showLegendKey val="0"/>
          <c:showVal val="1"/>
          <c:showCatName val="0"/>
          <c:showSerName val="0"/>
          <c:showPercent val="0"/>
          <c:showBubbleSize val="0"/>
        </c:dLbls>
        <c:gapWidth val="65"/>
        <c:axId val="1112595296"/>
        <c:axId val="1112596128"/>
      </c:barChart>
      <c:catAx>
        <c:axId val="111259529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112596128"/>
        <c:crosses val="autoZero"/>
        <c:auto val="1"/>
        <c:lblAlgn val="ctr"/>
        <c:lblOffset val="100"/>
        <c:noMultiLvlLbl val="0"/>
      </c:catAx>
      <c:valAx>
        <c:axId val="1112596128"/>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112595296"/>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of daybook.xlsm]Pivot Table!PivotTable3</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Savings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Table'!$G$3</c:f>
              <c:strCache>
                <c:ptCount val="1"/>
                <c:pt idx="0">
                  <c:v>Total</c:v>
                </c:pt>
              </c:strCache>
            </c:strRef>
          </c:tx>
          <c:spPr>
            <a:solidFill>
              <a:srgbClr val="00B050"/>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'Pivot Table'!$F$4:$F$17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2023</c:v>
                  </c:pt>
                </c:lvl>
              </c:multiLvlStrCache>
            </c:multiLvlStrRef>
          </c:cat>
          <c:val>
            <c:numRef>
              <c:f>'Pivot Table'!$G$4:$G$17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3CDF-431A-BDEA-8DDA9B459A60}"/>
            </c:ext>
          </c:extLst>
        </c:ser>
        <c:dLbls>
          <c:dLblPos val="inEnd"/>
          <c:showLegendKey val="0"/>
          <c:showVal val="1"/>
          <c:showCatName val="0"/>
          <c:showSerName val="0"/>
          <c:showPercent val="0"/>
          <c:showBubbleSize val="0"/>
        </c:dLbls>
        <c:gapWidth val="65"/>
        <c:axId val="1201804912"/>
        <c:axId val="1201805328"/>
      </c:barChart>
      <c:catAx>
        <c:axId val="120180491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01805328"/>
        <c:crosses val="autoZero"/>
        <c:auto val="1"/>
        <c:lblAlgn val="ctr"/>
        <c:lblOffset val="100"/>
        <c:noMultiLvlLbl val="0"/>
      </c:catAx>
      <c:valAx>
        <c:axId val="1201805328"/>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201804912"/>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of daybook.xlsm]Pivot Table!PivotTable2</c:name>
    <c:fmtId val="1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Income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2D050"/>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Table'!$J$3:$J$4</c:f>
              <c:strCache>
                <c:ptCount val="1"/>
                <c:pt idx="0">
                  <c:v>(blank)</c:v>
                </c:pt>
              </c:strCache>
            </c:strRef>
          </c:tx>
          <c:spPr>
            <a:solidFill>
              <a:srgbClr val="92D050"/>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Table'!$I$5:$I$6</c:f>
              <c:strCache>
                <c:ptCount val="1"/>
                <c:pt idx="0">
                  <c:v>(blank)</c:v>
                </c:pt>
              </c:strCache>
            </c:strRef>
          </c:cat>
          <c:val>
            <c:numRef>
              <c:f>'Pivot Table'!$J$5:$J$6</c:f>
              <c:numCache>
                <c:formatCode>General</c:formatCode>
                <c:ptCount val="1"/>
              </c:numCache>
            </c:numRef>
          </c:val>
          <c:extLst>
            <c:ext xmlns:c16="http://schemas.microsoft.com/office/drawing/2014/chart" uri="{C3380CC4-5D6E-409C-BE32-E72D297353CC}">
              <c16:uniqueId val="{00000000-C853-4EBD-AED0-91892AA41458}"/>
            </c:ext>
          </c:extLst>
        </c:ser>
        <c:dLbls>
          <c:dLblPos val="inEnd"/>
          <c:showLegendKey val="0"/>
          <c:showVal val="1"/>
          <c:showCatName val="0"/>
          <c:showSerName val="0"/>
          <c:showPercent val="0"/>
          <c:showBubbleSize val="0"/>
        </c:dLbls>
        <c:gapWidth val="65"/>
        <c:axId val="1495195824"/>
        <c:axId val="1495196656"/>
      </c:barChart>
      <c:catAx>
        <c:axId val="149519582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95196656"/>
        <c:crosses val="autoZero"/>
        <c:auto val="1"/>
        <c:lblAlgn val="ctr"/>
        <c:lblOffset val="100"/>
        <c:noMultiLvlLbl val="0"/>
      </c:catAx>
      <c:valAx>
        <c:axId val="149519665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495195824"/>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241300</xdr:colOff>
      <xdr:row>5</xdr:row>
      <xdr:rowOff>6350</xdr:rowOff>
    </xdr:from>
    <xdr:to>
      <xdr:col>1</xdr:col>
      <xdr:colOff>698500</xdr:colOff>
      <xdr:row>7</xdr:row>
      <xdr:rowOff>25400</xdr:rowOff>
    </xdr:to>
    <xdr:sp macro="[0]!expense" textlink="">
      <xdr:nvSpPr>
        <xdr:cNvPr id="2" name="Rectangle: Rounded Corners 1">
          <a:extLst>
            <a:ext uri="{FF2B5EF4-FFF2-40B4-BE49-F238E27FC236}">
              <a16:creationId xmlns:a16="http://schemas.microsoft.com/office/drawing/2014/main" id="{B98B16E7-09FB-42DE-A705-82BDCD315027}"/>
            </a:ext>
          </a:extLst>
        </xdr:cNvPr>
        <xdr:cNvSpPr/>
      </xdr:nvSpPr>
      <xdr:spPr>
        <a:xfrm>
          <a:off x="241300" y="927100"/>
          <a:ext cx="1066800" cy="38735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solidFill>
                <a:schemeClr val="tx1"/>
              </a:solidFill>
            </a:rPr>
            <a:t>Expense</a:t>
          </a:r>
        </a:p>
      </xdr:txBody>
    </xdr:sp>
    <xdr:clientData/>
  </xdr:twoCellAnchor>
  <xdr:twoCellAnchor>
    <xdr:from>
      <xdr:col>2</xdr:col>
      <xdr:colOff>165100</xdr:colOff>
      <xdr:row>5</xdr:row>
      <xdr:rowOff>6350</xdr:rowOff>
    </xdr:from>
    <xdr:to>
      <xdr:col>4</xdr:col>
      <xdr:colOff>12700</xdr:colOff>
      <xdr:row>7</xdr:row>
      <xdr:rowOff>25400</xdr:rowOff>
    </xdr:to>
    <xdr:sp macro="[0]!income" textlink="">
      <xdr:nvSpPr>
        <xdr:cNvPr id="3" name="Rectangle: Rounded Corners 2">
          <a:extLst>
            <a:ext uri="{FF2B5EF4-FFF2-40B4-BE49-F238E27FC236}">
              <a16:creationId xmlns:a16="http://schemas.microsoft.com/office/drawing/2014/main" id="{9B744EDA-BE99-40FC-B726-E9C72D8F7B63}"/>
            </a:ext>
          </a:extLst>
        </xdr:cNvPr>
        <xdr:cNvSpPr/>
      </xdr:nvSpPr>
      <xdr:spPr>
        <a:xfrm>
          <a:off x="1479550" y="927100"/>
          <a:ext cx="1066800" cy="387350"/>
        </a:xfrm>
        <a:prstGeom prst="round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solidFill>
                <a:schemeClr val="tx1"/>
              </a:solidFill>
            </a:rPr>
            <a:t>Income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63500</xdr:colOff>
      <xdr:row>1</xdr:row>
      <xdr:rowOff>158750</xdr:rowOff>
    </xdr:from>
    <xdr:to>
      <xdr:col>4</xdr:col>
      <xdr:colOff>120650</xdr:colOff>
      <xdr:row>4</xdr:row>
      <xdr:rowOff>12700</xdr:rowOff>
    </xdr:to>
    <xdr:sp macro="[0]!refresh" textlink="">
      <xdr:nvSpPr>
        <xdr:cNvPr id="3" name="Rectangle 2">
          <a:extLst>
            <a:ext uri="{FF2B5EF4-FFF2-40B4-BE49-F238E27FC236}">
              <a16:creationId xmlns:a16="http://schemas.microsoft.com/office/drawing/2014/main" id="{C1739F92-073C-458C-A26B-CD41C1300E6E}"/>
            </a:ext>
          </a:extLst>
        </xdr:cNvPr>
        <xdr:cNvSpPr/>
      </xdr:nvSpPr>
      <xdr:spPr>
        <a:xfrm>
          <a:off x="2425700" y="342900"/>
          <a:ext cx="730250" cy="4064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Refresh</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63498</xdr:colOff>
      <xdr:row>0</xdr:row>
      <xdr:rowOff>101600</xdr:rowOff>
    </xdr:from>
    <xdr:to>
      <xdr:col>30</xdr:col>
      <xdr:colOff>95250</xdr:colOff>
      <xdr:row>21</xdr:row>
      <xdr:rowOff>56445</xdr:rowOff>
    </xdr:to>
    <xdr:sp macro="" textlink="">
      <xdr:nvSpPr>
        <xdr:cNvPr id="6" name="Rectangle 5">
          <a:extLst>
            <a:ext uri="{FF2B5EF4-FFF2-40B4-BE49-F238E27FC236}">
              <a16:creationId xmlns:a16="http://schemas.microsoft.com/office/drawing/2014/main" id="{DE4AF91B-14AC-40F7-99B5-D0862FF7396A}"/>
            </a:ext>
          </a:extLst>
        </xdr:cNvPr>
        <xdr:cNvSpPr/>
      </xdr:nvSpPr>
      <xdr:spPr>
        <a:xfrm>
          <a:off x="63498" y="101600"/>
          <a:ext cx="18367377" cy="3788658"/>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88900</xdr:colOff>
      <xdr:row>4</xdr:row>
      <xdr:rowOff>162279</xdr:rowOff>
    </xdr:from>
    <xdr:to>
      <xdr:col>8</xdr:col>
      <xdr:colOff>482600</xdr:colOff>
      <xdr:row>21</xdr:row>
      <xdr:rowOff>28222</xdr:rowOff>
    </xdr:to>
    <xdr:graphicFrame macro="">
      <xdr:nvGraphicFramePr>
        <xdr:cNvPr id="10" name="Chart 9">
          <a:extLst>
            <a:ext uri="{FF2B5EF4-FFF2-40B4-BE49-F238E27FC236}">
              <a16:creationId xmlns:a16="http://schemas.microsoft.com/office/drawing/2014/main" id="{D3F83F6E-366D-4289-920B-E936F23ADC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111125</xdr:colOff>
      <xdr:row>0</xdr:row>
      <xdr:rowOff>122766</xdr:rowOff>
    </xdr:from>
    <xdr:to>
      <xdr:col>8</xdr:col>
      <xdr:colOff>451555</xdr:colOff>
      <xdr:row>4</xdr:row>
      <xdr:rowOff>91721</xdr:rowOff>
    </xdr:to>
    <mc:AlternateContent xmlns:mc="http://schemas.openxmlformats.org/markup-compatibility/2006" xmlns:a14="http://schemas.microsoft.com/office/drawing/2010/main">
      <mc:Choice Requires="a14">
        <xdr:graphicFrame macro="">
          <xdr:nvGraphicFramePr>
            <xdr:cNvPr id="12" name="Date">
              <a:extLst>
                <a:ext uri="{FF2B5EF4-FFF2-40B4-BE49-F238E27FC236}">
                  <a16:creationId xmlns:a16="http://schemas.microsoft.com/office/drawing/2014/main" id="{AD05893D-8EB1-4D95-A80C-8ABF42232FF7}"/>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2596444" y="122766"/>
              <a:ext cx="2709333" cy="7027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515055</xdr:colOff>
      <xdr:row>0</xdr:row>
      <xdr:rowOff>172156</xdr:rowOff>
    </xdr:from>
    <xdr:to>
      <xdr:col>11</xdr:col>
      <xdr:colOff>523521</xdr:colOff>
      <xdr:row>21</xdr:row>
      <xdr:rowOff>21167</xdr:rowOff>
    </xdr:to>
    <mc:AlternateContent xmlns:mc="http://schemas.openxmlformats.org/markup-compatibility/2006" xmlns:a14="http://schemas.microsoft.com/office/drawing/2010/main">
      <mc:Choice Requires="a14">
        <xdr:graphicFrame macro="">
          <xdr:nvGraphicFramePr>
            <xdr:cNvPr id="13" name="Description">
              <a:extLst>
                <a:ext uri="{FF2B5EF4-FFF2-40B4-BE49-F238E27FC236}">
                  <a16:creationId xmlns:a16="http://schemas.microsoft.com/office/drawing/2014/main" id="{E5684824-4BF6-497E-9EA1-F3599544E171}"/>
                </a:ext>
              </a:extLst>
            </xdr:cNvPr>
            <xdr:cNvGraphicFramePr/>
          </xdr:nvGraphicFramePr>
          <xdr:xfrm>
            <a:off x="0" y="0"/>
            <a:ext cx="0" cy="0"/>
          </xdr:xfrm>
          <a:graphic>
            <a:graphicData uri="http://schemas.microsoft.com/office/drawing/2010/slicer">
              <sle:slicer xmlns:sle="http://schemas.microsoft.com/office/drawing/2010/slicer" name="Description"/>
            </a:graphicData>
          </a:graphic>
        </xdr:graphicFrame>
      </mc:Choice>
      <mc:Fallback xmlns="">
        <xdr:sp macro="" textlink="">
          <xdr:nvSpPr>
            <xdr:cNvPr id="0" name=""/>
            <xdr:cNvSpPr>
              <a:spLocks noTextEdit="1"/>
            </xdr:cNvSpPr>
          </xdr:nvSpPr>
          <xdr:spPr>
            <a:xfrm>
              <a:off x="5404555" y="172156"/>
              <a:ext cx="1842029" cy="36828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28233</xdr:colOff>
      <xdr:row>4</xdr:row>
      <xdr:rowOff>169333</xdr:rowOff>
    </xdr:from>
    <xdr:to>
      <xdr:col>20</xdr:col>
      <xdr:colOff>500943</xdr:colOff>
      <xdr:row>21</xdr:row>
      <xdr:rowOff>42333</xdr:rowOff>
    </xdr:to>
    <xdr:graphicFrame macro="">
      <xdr:nvGraphicFramePr>
        <xdr:cNvPr id="15" name="Chart 14">
          <a:extLst>
            <a:ext uri="{FF2B5EF4-FFF2-40B4-BE49-F238E27FC236}">
              <a16:creationId xmlns:a16="http://schemas.microsoft.com/office/drawing/2014/main" id="{E5210FEC-FD96-43B9-AC36-10F599F2EA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7054</xdr:colOff>
      <xdr:row>0</xdr:row>
      <xdr:rowOff>136878</xdr:rowOff>
    </xdr:from>
    <xdr:to>
      <xdr:col>20</xdr:col>
      <xdr:colOff>507999</xdr:colOff>
      <xdr:row>4</xdr:row>
      <xdr:rowOff>91722</xdr:rowOff>
    </xdr:to>
    <mc:AlternateContent xmlns:mc="http://schemas.openxmlformats.org/markup-compatibility/2006" xmlns:a14="http://schemas.microsoft.com/office/drawing/2010/main">
      <mc:Choice Requires="a14">
        <xdr:graphicFrame macro="">
          <xdr:nvGraphicFramePr>
            <xdr:cNvPr id="16" name="Date 1">
              <a:extLst>
                <a:ext uri="{FF2B5EF4-FFF2-40B4-BE49-F238E27FC236}">
                  <a16:creationId xmlns:a16="http://schemas.microsoft.com/office/drawing/2014/main" id="{8EA1E034-A436-4147-A62C-BD42DEC05CE3}"/>
                </a:ext>
              </a:extLst>
            </xdr:cNvPr>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7288388" y="136878"/>
              <a:ext cx="2885723" cy="6886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611185</xdr:colOff>
      <xdr:row>4</xdr:row>
      <xdr:rowOff>157162</xdr:rowOff>
    </xdr:from>
    <xdr:to>
      <xdr:col>29</xdr:col>
      <xdr:colOff>476249</xdr:colOff>
      <xdr:row>21</xdr:row>
      <xdr:rowOff>31749</xdr:rowOff>
    </xdr:to>
    <xdr:graphicFrame macro="">
      <xdr:nvGraphicFramePr>
        <xdr:cNvPr id="14" name="Chart 13">
          <a:extLst>
            <a:ext uri="{FF2B5EF4-FFF2-40B4-BE49-F238E27FC236}">
              <a16:creationId xmlns:a16="http://schemas.microsoft.com/office/drawing/2014/main" id="{6D2B4C46-68C7-4745-9BB1-B5246CF2D9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20</xdr:col>
      <xdr:colOff>611185</xdr:colOff>
      <xdr:row>0</xdr:row>
      <xdr:rowOff>165102</xdr:rowOff>
    </xdr:from>
    <xdr:to>
      <xdr:col>29</xdr:col>
      <xdr:colOff>452436</xdr:colOff>
      <xdr:row>4</xdr:row>
      <xdr:rowOff>79376</xdr:rowOff>
    </xdr:to>
    <mc:AlternateContent xmlns:mc="http://schemas.openxmlformats.org/markup-compatibility/2006" xmlns:a14="http://schemas.microsoft.com/office/drawing/2010/main">
      <mc:Choice Requires="a14">
        <xdr:graphicFrame macro="">
          <xdr:nvGraphicFramePr>
            <xdr:cNvPr id="18" name="Date 2">
              <a:extLst>
                <a:ext uri="{FF2B5EF4-FFF2-40B4-BE49-F238E27FC236}">
                  <a16:creationId xmlns:a16="http://schemas.microsoft.com/office/drawing/2014/main" id="{CFC46434-7CD1-45B3-B9F4-26F25DAB693E}"/>
                </a:ext>
              </a:extLst>
            </xdr:cNvPr>
            <xdr:cNvGraphicFramePr/>
          </xdr:nvGraphicFramePr>
          <xdr:xfrm>
            <a:off x="0" y="0"/>
            <a:ext cx="0" cy="0"/>
          </xdr:xfrm>
          <a:graphic>
            <a:graphicData uri="http://schemas.microsoft.com/office/drawing/2010/slicer">
              <sle:slicer xmlns:sle="http://schemas.microsoft.com/office/drawing/2010/slicer" name="Date 2"/>
            </a:graphicData>
          </a:graphic>
        </xdr:graphicFrame>
      </mc:Choice>
      <mc:Fallback xmlns="">
        <xdr:sp macro="" textlink="">
          <xdr:nvSpPr>
            <xdr:cNvPr id="0" name=""/>
            <xdr:cNvSpPr>
              <a:spLocks noTextEdit="1"/>
            </xdr:cNvSpPr>
          </xdr:nvSpPr>
          <xdr:spPr>
            <a:xfrm>
              <a:off x="12834936" y="165102"/>
              <a:ext cx="2635252" cy="6445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301625</xdr:colOff>
      <xdr:row>5</xdr:row>
      <xdr:rowOff>23812</xdr:rowOff>
    </xdr:from>
    <xdr:to>
      <xdr:col>6</xdr:col>
      <xdr:colOff>134938</xdr:colOff>
      <xdr:row>6</xdr:row>
      <xdr:rowOff>87313</xdr:rowOff>
    </xdr:to>
    <xdr:sp macro="[0]!category_view" textlink="">
      <xdr:nvSpPr>
        <xdr:cNvPr id="2" name="Rectangle 1">
          <a:extLst>
            <a:ext uri="{FF2B5EF4-FFF2-40B4-BE49-F238E27FC236}">
              <a16:creationId xmlns:a16="http://schemas.microsoft.com/office/drawing/2014/main" id="{E5B576CD-2F3C-49B4-A575-77CED465A8DD}"/>
            </a:ext>
          </a:extLst>
        </xdr:cNvPr>
        <xdr:cNvSpPr/>
      </xdr:nvSpPr>
      <xdr:spPr>
        <a:xfrm>
          <a:off x="2746375" y="936625"/>
          <a:ext cx="1055688" cy="246063"/>
        </a:xfrm>
        <a:prstGeom prst="rect">
          <a:avLst/>
        </a:prstGeom>
        <a:solidFill>
          <a:schemeClr val="bg1">
            <a:lumMod val="6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IN" sz="1100"/>
            <a:t>Category-view</a:t>
          </a:r>
        </a:p>
      </xdr:txBody>
    </xdr:sp>
    <xdr:clientData/>
  </xdr:twoCellAnchor>
  <xdr:twoCellAnchor>
    <xdr:from>
      <xdr:col>6</xdr:col>
      <xdr:colOff>152400</xdr:colOff>
      <xdr:row>5</xdr:row>
      <xdr:rowOff>25399</xdr:rowOff>
    </xdr:from>
    <xdr:to>
      <xdr:col>7</xdr:col>
      <xdr:colOff>596900</xdr:colOff>
      <xdr:row>6</xdr:row>
      <xdr:rowOff>88900</xdr:rowOff>
    </xdr:to>
    <xdr:sp macro="[0]!monthly_view" textlink="">
      <xdr:nvSpPr>
        <xdr:cNvPr id="20" name="Rectangle 19">
          <a:extLst>
            <a:ext uri="{FF2B5EF4-FFF2-40B4-BE49-F238E27FC236}">
              <a16:creationId xmlns:a16="http://schemas.microsoft.com/office/drawing/2014/main" id="{97B17DE1-F585-4C1E-A82F-2CC680B46F26}"/>
            </a:ext>
          </a:extLst>
        </xdr:cNvPr>
        <xdr:cNvSpPr/>
      </xdr:nvSpPr>
      <xdr:spPr>
        <a:xfrm>
          <a:off x="3819525" y="938212"/>
          <a:ext cx="1055688" cy="246063"/>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IN" sz="1100"/>
            <a:t>Monthly-view</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yant Yadav" refreshedDate="44934.3212375" missingItemsLimit="0" createdVersion="7" refreshedVersion="8" minRefreshableVersion="3" recordCount="2" xr:uid="{6290E742-8FD8-4332-916F-9A99BA808619}">
  <cacheSource type="worksheet">
    <worksheetSource name="Table1"/>
  </cacheSource>
  <cacheFields count="5">
    <cacheField name="Date" numFmtId="0">
      <sharedItems containsNonDate="0" containsDate="1" containsString="0" containsBlank="1" minDate="1905-01-01T00:00:00" maxDate="1905-01-01T00:00:00" count="1">
        <m/>
      </sharedItems>
      <fieldGroup par="4" base="0">
        <rangePr groupBy="months" startDate="1905-01-01T00:00:00" endDate="1905-01-01T00:00:00"/>
        <groupItems count="14">
          <s v="(blank)"/>
          <s v="Jan"/>
          <s v="Feb"/>
          <s v="Mar"/>
          <s v="Apr"/>
          <s v="May"/>
          <s v="Jun"/>
          <s v="Jul"/>
          <s v="Aug"/>
          <s v="Sep"/>
          <s v="Oct"/>
          <s v="Nov"/>
          <s v="Dec"/>
          <s v="&gt;01-01-1905"/>
        </groupItems>
      </fieldGroup>
    </cacheField>
    <cacheField name="Description" numFmtId="0">
      <sharedItems containsNonDate="0" containsString="0" containsBlank="1" count="1">
        <m/>
      </sharedItems>
    </cacheField>
    <cacheField name="Amount" numFmtId="0">
      <sharedItems containsNonDate="0" containsString="0" containsBlank="1"/>
    </cacheField>
    <cacheField name="Quarters" numFmtId="0" databaseField="0">
      <fieldGroup base="0">
        <rangePr groupBy="quarters" startDate="1905-01-01T00:00:00" endDate="1905-01-01T00:00:00"/>
        <groupItems count="6">
          <s v="&lt;01-01-1905"/>
          <s v="Qtr1"/>
          <s v="Qtr2"/>
          <s v="Qtr3"/>
          <s v="Qtr4"/>
          <s v="&gt;01-01-1905"/>
        </groupItems>
      </fieldGroup>
    </cacheField>
    <cacheField name="Years" numFmtId="0" databaseField="0">
      <fieldGroup base="0">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pivotCacheId="137201276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yant Yadav" refreshedDate="44934.321238078701" missingItemsLimit="0" createdVersion="7" refreshedVersion="8" minRefreshableVersion="3" recordCount="2" xr:uid="{DF752F0C-D0CD-4105-9474-DAB1E952BB65}">
  <cacheSource type="worksheet">
    <worksheetSource name="Table2"/>
  </cacheSource>
  <cacheFields count="5">
    <cacheField name="Date" numFmtId="0">
      <sharedItems containsNonDate="0" containsDate="1" containsString="0" containsBlank="1" minDate="1905-01-01T00:00:00" maxDate="1905-01-01T00:00:00" count="1">
        <m/>
      </sharedItems>
      <fieldGroup par="4" base="0">
        <rangePr groupBy="months" startDate="1905-01-01T00:00:00" endDate="1905-01-01T00:00:00"/>
        <groupItems count="14">
          <s v="(blank)"/>
          <s v="Jan"/>
          <s v="Feb"/>
          <s v="Mar"/>
          <s v="Apr"/>
          <s v="May"/>
          <s v="Jun"/>
          <s v="Jul"/>
          <s v="Aug"/>
          <s v="Sep"/>
          <s v="Oct"/>
          <s v="Nov"/>
          <s v="Dec"/>
          <s v="&gt;01-01-1905"/>
        </groupItems>
      </fieldGroup>
    </cacheField>
    <cacheField name="Description" numFmtId="0">
      <sharedItems containsNonDate="0" containsString="0" containsBlank="1" count="1">
        <m/>
      </sharedItems>
    </cacheField>
    <cacheField name="Amount" numFmtId="0">
      <sharedItems containsNonDate="0" containsString="0" containsBlank="1"/>
    </cacheField>
    <cacheField name="Quarters" numFmtId="0" databaseField="0">
      <fieldGroup base="0">
        <rangePr groupBy="quarters" startDate="1905-01-01T00:00:00" endDate="1905-01-01T00:00:00"/>
        <groupItems count="6">
          <s v="&lt;01-01-1905"/>
          <s v="Qtr1"/>
          <s v="Qtr2"/>
          <s v="Qtr3"/>
          <s v="Qtr4"/>
          <s v="&gt;01-01-1905"/>
        </groupItems>
      </fieldGroup>
    </cacheField>
    <cacheField name="Years" numFmtId="0" databaseField="0">
      <fieldGroup base="0">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pivotCacheId="24544966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yant Yadav" refreshedDate="44934.321238425924" missingItemsLimit="0" createdVersion="7" refreshedVersion="8" minRefreshableVersion="3" recordCount="12" xr:uid="{3FECF150-9669-45D8-A4AF-17CE405E9176}">
  <cacheSource type="worksheet">
    <worksheetSource name="Table3"/>
  </cacheSource>
  <cacheFields count="4">
    <cacheField name="Date" numFmtId="14">
      <sharedItems containsSemiMixedTypes="0" containsNonDate="0" containsDate="1" containsString="0" minDate="2023-01-01T00:00:00" maxDate="2023-12-02T00:00:00" count="12">
        <d v="2023-01-01T00:00:00"/>
        <d v="2023-02-01T00:00:00"/>
        <d v="2023-03-01T00:00:00"/>
        <d v="2023-04-01T00:00:00"/>
        <d v="2023-05-01T00:00:00"/>
        <d v="2023-06-01T00:00:00"/>
        <d v="2023-07-01T00:00:00"/>
        <d v="2023-08-01T00:00:00"/>
        <d v="2023-09-01T00:00:00"/>
        <d v="2023-10-01T00:00:00"/>
        <d v="2023-11-01T00:00:00"/>
        <d v="2023-12-01T00:00:00"/>
      </sharedItems>
      <fieldGroup par="3" base="0">
        <rangePr groupBy="months" startDate="2023-01-01T00:00:00" endDate="2023-12-02T00:00:00"/>
        <groupItems count="14">
          <s v="&lt;01-01-2023"/>
          <s v="Jan"/>
          <s v="Feb"/>
          <s v="Mar"/>
          <s v="Apr"/>
          <s v="May"/>
          <s v="Jun"/>
          <s v="Jul"/>
          <s v="Aug"/>
          <s v="Sep"/>
          <s v="Oct"/>
          <s v="Nov"/>
          <s v="Dec"/>
          <s v="&gt;02-12-2023"/>
        </groupItems>
      </fieldGroup>
    </cacheField>
    <cacheField name="Amount" numFmtId="0">
      <sharedItems containsSemiMixedTypes="0" containsString="0" containsNumber="1" containsInteger="1" minValue="0" maxValue="0"/>
    </cacheField>
    <cacheField name="Quarters" numFmtId="0" databaseField="0">
      <fieldGroup base="0">
        <rangePr groupBy="quarters" startDate="2023-01-01T00:00:00" endDate="2023-12-02T00:00:00"/>
        <groupItems count="6">
          <s v="&lt;01-01-2023"/>
          <s v="Qtr1"/>
          <s v="Qtr2"/>
          <s v="Qtr3"/>
          <s v="Qtr4"/>
          <s v="&gt;02-12-2023"/>
        </groupItems>
      </fieldGroup>
    </cacheField>
    <cacheField name="Years" numFmtId="0" databaseField="0">
      <fieldGroup base="0">
        <rangePr groupBy="years" startDate="2023-01-01T00:00:00" endDate="2023-12-02T00:00:00"/>
        <groupItems count="3">
          <s v="&lt;01-01-2023"/>
          <s v="2023"/>
          <s v="&gt;02-12-2023"/>
        </groupItems>
      </fieldGroup>
    </cacheField>
  </cacheFields>
  <extLst>
    <ext xmlns:x14="http://schemas.microsoft.com/office/spreadsheetml/2009/9/main" uri="{725AE2AE-9491-48be-B2B4-4EB974FC3084}">
      <x14:pivotCacheDefinition pivotCacheId="202635358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x v="0"/>
    <m/>
  </r>
  <r>
    <x v="0"/>
    <x v="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x v="0"/>
    <m/>
  </r>
  <r>
    <x v="0"/>
    <x v="0"/>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n v="0"/>
  </r>
  <r>
    <x v="1"/>
    <n v="0"/>
  </r>
  <r>
    <x v="2"/>
    <n v="0"/>
  </r>
  <r>
    <x v="3"/>
    <n v="0"/>
  </r>
  <r>
    <x v="4"/>
    <n v="0"/>
  </r>
  <r>
    <x v="5"/>
    <n v="0"/>
  </r>
  <r>
    <x v="6"/>
    <n v="0"/>
  </r>
  <r>
    <x v="7"/>
    <n v="0"/>
  </r>
  <r>
    <x v="8"/>
    <n v="0"/>
  </r>
  <r>
    <x v="9"/>
    <n v="0"/>
  </r>
  <r>
    <x v="10"/>
    <n v="0"/>
  </r>
  <r>
    <x v="11"/>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89756F9-E682-48A7-987F-B375E8788F73}" name="PivotTable2" cacheId="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11">
  <location ref="I3:K6" firstHeaderRow="1" firstDataRow="2" firstDataCol="1"/>
  <pivotFields count="5">
    <pivotField axis="axisRow" showAll="0">
      <items count="15">
        <item x="0"/>
        <item x="1"/>
        <item x="2"/>
        <item x="3"/>
        <item x="4"/>
        <item x="5"/>
        <item x="6"/>
        <item x="7"/>
        <item x="8"/>
        <item x="9"/>
        <item x="10"/>
        <item x="11"/>
        <item x="12"/>
        <item x="13"/>
        <item t="default"/>
      </items>
    </pivotField>
    <pivotField axis="axisCol" showAll="0">
      <items count="2">
        <item x="0"/>
        <item t="default"/>
      </items>
    </pivotField>
    <pivotField dataField="1" showAll="0"/>
    <pivotField showAll="0">
      <items count="7">
        <item sd="0" x="1"/>
        <item sd="0" x="2"/>
        <item sd="0" x="3"/>
        <item sd="0" x="4"/>
        <item x="0"/>
        <item x="5"/>
        <item t="default"/>
      </items>
    </pivotField>
    <pivotField showAll="0">
      <items count="4">
        <item x="0"/>
        <item x="1"/>
        <item x="2"/>
        <item t="default"/>
      </items>
    </pivotField>
  </pivotFields>
  <rowFields count="1">
    <field x="0"/>
  </rowFields>
  <rowItems count="2">
    <i>
      <x/>
    </i>
    <i t="grand">
      <x/>
    </i>
  </rowItems>
  <colFields count="1">
    <field x="1"/>
  </colFields>
  <colItems count="2">
    <i>
      <x/>
    </i>
    <i t="grand">
      <x/>
    </i>
  </colItems>
  <dataFields count="1">
    <dataField name="Sum of Amount" fld="2" baseField="0" baseItem="0"/>
  </dataFields>
  <chartFormats count="4">
    <chartFormat chart="5"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3104C76-231B-43A7-B5E5-786642AAD466}"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2">
  <location ref="A3:B5" firstHeaderRow="1" firstDataRow="1" firstDataCol="1"/>
  <pivotFields count="5">
    <pivotField axis="axisRow" showAll="0">
      <items count="15">
        <item x="0"/>
        <item x="1"/>
        <item x="2"/>
        <item x="3"/>
        <item x="4"/>
        <item x="5"/>
        <item x="6"/>
        <item x="7"/>
        <item x="8"/>
        <item x="9"/>
        <item x="10"/>
        <item x="11"/>
        <item x="12"/>
        <item x="13"/>
        <item t="default"/>
      </items>
    </pivotField>
    <pivotField showAll="0">
      <items count="2">
        <item x="0"/>
        <item t="default"/>
      </items>
    </pivotField>
    <pivotField dataField="1" showAll="0"/>
    <pivotField showAll="0">
      <items count="7">
        <item sd="0" x="1"/>
        <item sd="0" x="2"/>
        <item sd="0" x="3"/>
        <item sd="0" x="4"/>
        <item x="0"/>
        <item x="5"/>
        <item t="default"/>
      </items>
    </pivotField>
    <pivotField showAll="0">
      <items count="4">
        <item x="0"/>
        <item x="1"/>
        <item x="2"/>
        <item t="default"/>
      </items>
    </pivotField>
  </pivotFields>
  <rowFields count="1">
    <field x="0"/>
  </rowFields>
  <rowItems count="2">
    <i>
      <x/>
    </i>
    <i t="grand">
      <x/>
    </i>
  </rowItems>
  <colItems count="1">
    <i/>
  </colItems>
  <dataFields count="1">
    <dataField name="Sum of Amount" fld="2" baseField="1" baseItem="0"/>
  </dataFields>
  <chartFormats count="8">
    <chartFormat chart="8" format="0"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 chart="14" format="0"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 chart="20" format="0" series="1">
      <pivotArea type="data" outline="0" fieldPosition="0">
        <references count="1">
          <reference field="4294967294" count="1" selected="0">
            <x v="0"/>
          </reference>
        </references>
      </pivotArea>
    </chartFormat>
    <chartFormat chart="2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DBC041-25A4-4C53-B42A-8B2BA519C2AA}" name="PivotTable3" cacheId="2"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F3:G17" firstHeaderRow="1" firstDataRow="1" firstDataCol="1"/>
  <pivotFields count="4">
    <pivotField axis="axisRow" numFmtId="14" showAll="0">
      <items count="15">
        <item x="0"/>
        <item x="1"/>
        <item x="2"/>
        <item x="3"/>
        <item x="4"/>
        <item x="5"/>
        <item x="6"/>
        <item x="7"/>
        <item x="8"/>
        <item x="9"/>
        <item x="10"/>
        <item x="11"/>
        <item x="12"/>
        <item x="13"/>
        <item t="default"/>
      </items>
    </pivotField>
    <pivotField dataField="1" showAll="0"/>
    <pivotField showAll="0">
      <items count="7">
        <item x="1"/>
        <item x="2"/>
        <item sd="0" x="3"/>
        <item sd="0" x="4"/>
        <item x="0"/>
        <item x="5"/>
        <item t="default"/>
      </items>
    </pivotField>
    <pivotField axis="axisRow" showAll="0">
      <items count="4">
        <item x="0"/>
        <item x="1"/>
        <item x="2"/>
        <item t="default"/>
      </items>
    </pivotField>
  </pivotFields>
  <rowFields count="2">
    <field x="3"/>
    <field x="0"/>
  </rowFields>
  <rowItems count="14">
    <i>
      <x v="1"/>
    </i>
    <i r="1">
      <x v="1"/>
    </i>
    <i r="1">
      <x v="2"/>
    </i>
    <i r="1">
      <x v="3"/>
    </i>
    <i r="1">
      <x v="4"/>
    </i>
    <i r="1">
      <x v="5"/>
    </i>
    <i r="1">
      <x v="6"/>
    </i>
    <i r="1">
      <x v="7"/>
    </i>
    <i r="1">
      <x v="8"/>
    </i>
    <i r="1">
      <x v="9"/>
    </i>
    <i r="1">
      <x v="10"/>
    </i>
    <i r="1">
      <x v="11"/>
    </i>
    <i r="1">
      <x v="12"/>
    </i>
    <i t="grand">
      <x/>
    </i>
  </rowItems>
  <colItems count="1">
    <i/>
  </colItems>
  <dataFields count="1">
    <dataField name="Sum of Amount" fld="1" baseField="0" baseItem="0"/>
  </dataField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9A3C1218-BF67-4F82-BE91-71F6FD17E6F3}" sourceName="Date">
  <pivotTables>
    <pivotTable tabId="5" name="PivotTable1"/>
  </pivotTables>
  <data>
    <tabular pivotCacheId="1372012767">
      <items count="14">
        <i x="1" s="1" nd="1"/>
        <i x="2" s="1" nd="1"/>
        <i x="3" s="1" nd="1"/>
        <i x="4" s="1" nd="1"/>
        <i x="5" s="1" nd="1"/>
        <i x="6" s="1" nd="1"/>
        <i x="7" s="1" nd="1"/>
        <i x="8" s="1" nd="1"/>
        <i x="9" s="1" nd="1"/>
        <i x="10" s="1" nd="1"/>
        <i x="11" s="1" nd="1"/>
        <i x="12" s="1" nd="1"/>
        <i x="0" s="1" nd="1"/>
        <i x="1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cription" xr10:uid="{FB1BF0FE-1074-40FF-8C19-A8D71F8E573F}" sourceName="Description">
  <pivotTables>
    <pivotTable tabId="5" name="PivotTable1"/>
  </pivotTables>
  <data>
    <tabular pivotCacheId="1372012767">
      <items count="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1" xr10:uid="{54264BB1-D2D6-4958-A8D8-A29E2D6B0A05}" sourceName="Date">
  <pivotTables>
    <pivotTable tabId="5" name="PivotTable3"/>
  </pivotTables>
  <data>
    <tabular pivotCacheId="2026353589">
      <items count="14">
        <i x="1" s="1"/>
        <i x="2" s="1"/>
        <i x="3" s="1"/>
        <i x="4" s="1"/>
        <i x="5" s="1"/>
        <i x="6" s="1"/>
        <i x="7" s="1"/>
        <i x="8" s="1"/>
        <i x="9" s="1"/>
        <i x="10" s="1"/>
        <i x="11" s="1"/>
        <i x="12" s="1"/>
        <i x="0" s="1" nd="1"/>
        <i x="1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2" xr10:uid="{D2FEB551-F86B-418E-A9B0-A8B02A965DC0}" sourceName="Date">
  <pivotTables>
    <pivotTable tabId="5" name="PivotTable2"/>
  </pivotTables>
  <data>
    <tabular pivotCacheId="245449661">
      <items count="14">
        <i x="1" s="1" nd="1"/>
        <i x="2" s="1" nd="1"/>
        <i x="3" s="1" nd="1"/>
        <i x="4" s="1" nd="1"/>
        <i x="5" s="1" nd="1"/>
        <i x="6" s="1" nd="1"/>
        <i x="7" s="1" nd="1"/>
        <i x="8" s="1" nd="1"/>
        <i x="9" s="1" nd="1"/>
        <i x="10" s="1" nd="1"/>
        <i x="11" s="1" nd="1"/>
        <i x="12" s="1" nd="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20ABC57E-5F01-4E54-965A-8D76768AF74F}" cache="Slicer_Date" caption="Date" columnCount="4" rowHeight="241300"/>
  <slicer name="Description" xr10:uid="{4B5039ED-5C40-4F4C-A49A-00C8D9B72498}" cache="Slicer_Description" caption="Description" rowHeight="241300"/>
  <slicer name="Date 1" xr10:uid="{1453383E-6B58-4B7A-8BDC-36D04C5DD205}" cache="Slicer_Date1" caption="Date" columnCount="4" rowHeight="241300"/>
  <slicer name="Date 2" xr10:uid="{02AA0297-60B1-4E33-87E3-E06C16994CE7}" cache="Slicer_Date2" caption="Date" columnCoun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A311B24-7395-418C-8E62-AFE503269C84}" name="Table1" displayName="Table1" ref="A3:C5" totalsRowShown="0">
  <autoFilter ref="A3:C5" xr:uid="{8A311B24-7395-418C-8E62-AFE503269C84}"/>
  <tableColumns count="3">
    <tableColumn id="1" xr3:uid="{85C7FD28-42D3-4349-A65C-A93758C7D5D1}" name="Date"/>
    <tableColumn id="2" xr3:uid="{485DE183-0F92-4318-A4D2-11B048AAE846}" name="Description"/>
    <tableColumn id="3" xr3:uid="{F6181415-30BB-4DE9-ABFC-12B315930B02}" name="Amount"/>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1E3188A-6E55-4D5D-900C-9D62AAD64879}" name="Table2" displayName="Table2" ref="F3:H5" totalsRowShown="0">
  <autoFilter ref="F3:H5" xr:uid="{B1E3188A-6E55-4D5D-900C-9D62AAD64879}"/>
  <tableColumns count="3">
    <tableColumn id="1" xr3:uid="{0865D839-EF25-4899-99B1-AB4758D30F5F}" name="Date"/>
    <tableColumn id="2" xr3:uid="{9B6E219C-A362-4FCB-B28B-551BDDD976DF}" name="Description"/>
    <tableColumn id="3" xr3:uid="{1F30D378-D6D6-492D-BC76-5A81DB145A45}" name="Amount"/>
  </tableColumns>
  <tableStyleInfo name="TableStyleMedium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13706D3-95CE-4032-8CDB-56171BF29A56}" name="Table3" displayName="Table3" ref="K3:L15" totalsRowShown="0">
  <autoFilter ref="K3:L15" xr:uid="{613706D3-95CE-4032-8CDB-56171BF29A56}"/>
  <tableColumns count="2">
    <tableColumn id="1" xr3:uid="{F9716C0F-B560-4DD2-9F97-50F51A54466F}" name="Date" dataDxfId="0"/>
    <tableColumn id="2" xr3:uid="{EDA8A99B-8227-4C46-94EF-5D6C4483A187}" name="Amount">
      <calculatedColumnFormula>SUMIFS(Table2[Amount],Table2[Date],"&gt;="&amp;K4,Table2[Date],"&lt;="&amp;EOMONTH(K4,0))-SUMIFS(Table1[Amount],Table1[Date],"&gt;="&amp;K4,Table1[Date],"&lt;="&amp;EOMONTH(K4,0))</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59B43-777E-47E6-90AC-801765C2874A}">
  <sheetPr codeName="Sheet1"/>
  <dimension ref="B1:H4"/>
  <sheetViews>
    <sheetView showGridLines="0" tabSelected="1" zoomScale="180" zoomScaleNormal="180" workbookViewId="0">
      <selection activeCell="B3" sqref="B3"/>
    </sheetView>
  </sheetViews>
  <sheetFormatPr defaultRowHeight="14.5" x14ac:dyDescent="0.35"/>
  <cols>
    <col min="2" max="2" width="10.08984375" bestFit="1" customWidth="1"/>
    <col min="3" max="3" width="12.7265625" bestFit="1" customWidth="1"/>
    <col min="8" max="8" width="19.81640625" bestFit="1" customWidth="1"/>
  </cols>
  <sheetData>
    <row r="1" spans="2:8" ht="14.5" customHeight="1" x14ac:dyDescent="0.35">
      <c r="D1" s="11" t="s">
        <v>31</v>
      </c>
      <c r="E1" s="11"/>
      <c r="F1" s="11"/>
      <c r="G1" s="11"/>
      <c r="H1" t="s">
        <v>2</v>
      </c>
    </row>
    <row r="2" spans="2:8" x14ac:dyDescent="0.35">
      <c r="B2" s="1" t="s">
        <v>0</v>
      </c>
      <c r="C2" s="4"/>
    </row>
    <row r="3" spans="2:8" x14ac:dyDescent="0.35">
      <c r="B3" s="1" t="s">
        <v>2</v>
      </c>
      <c r="C3" s="1"/>
    </row>
    <row r="4" spans="2:8" x14ac:dyDescent="0.35">
      <c r="B4" s="1" t="s">
        <v>1</v>
      </c>
      <c r="C4" s="1"/>
      <c r="D4" s="9" t="str">
        <f>IF(C4="","",IF(ISNUMBER(C4),"","Please enter number only"))</f>
        <v/>
      </c>
    </row>
  </sheetData>
  <mergeCells count="1">
    <mergeCell ref="D1:G1"/>
  </mergeCells>
  <dataValidations count="1">
    <dataValidation type="list" errorStyle="warning" allowBlank="1" showInputMessage="1" showErrorMessage="1" errorTitle="Warning" error="Please enter the description only from selected list" sqref="C3" xr:uid="{A85D4135-1AF2-488F-89F8-FA53D564D943}">
      <formula1>$H:$H</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DC881-5FA1-4066-8A4E-4607899CD43D}">
  <sheetPr codeName="Sheet2"/>
  <dimension ref="A1:M17"/>
  <sheetViews>
    <sheetView workbookViewId="0">
      <selection activeCell="D5" sqref="D5"/>
    </sheetView>
  </sheetViews>
  <sheetFormatPr defaultRowHeight="14.5" x14ac:dyDescent="0.35"/>
  <cols>
    <col min="1" max="1" width="12.36328125" bestFit="1" customWidth="1"/>
    <col min="2" max="2" width="14" bestFit="1" customWidth="1"/>
    <col min="3" max="5" width="4.81640625" customWidth="1"/>
    <col min="6" max="6" width="12.36328125" bestFit="1" customWidth="1"/>
    <col min="7" max="7" width="14" bestFit="1" customWidth="1"/>
    <col min="8" max="8" width="5.81640625" bestFit="1" customWidth="1"/>
    <col min="9" max="9" width="14" bestFit="1" customWidth="1"/>
    <col min="10" max="10" width="15.26953125" bestFit="1" customWidth="1"/>
    <col min="11" max="12" width="10.7265625" bestFit="1" customWidth="1"/>
    <col min="13" max="13" width="13" bestFit="1" customWidth="1"/>
    <col min="14" max="14" width="10.7265625" bestFit="1" customWidth="1"/>
    <col min="15" max="15" width="9.54296875" bestFit="1" customWidth="1"/>
    <col min="16" max="17" width="10.7265625" bestFit="1" customWidth="1"/>
    <col min="18" max="18" width="6.453125" bestFit="1" customWidth="1"/>
    <col min="19" max="19" width="3.81640625" bestFit="1" customWidth="1"/>
    <col min="20" max="20" width="9.36328125" bestFit="1" customWidth="1"/>
    <col min="21" max="21" width="6.453125" bestFit="1" customWidth="1"/>
    <col min="22" max="22" width="9.36328125" bestFit="1" customWidth="1"/>
    <col min="23" max="23" width="9.54296875" bestFit="1" customWidth="1"/>
    <col min="24" max="24" width="10.7265625" bestFit="1" customWidth="1"/>
  </cols>
  <sheetData>
    <row r="1" spans="1:13" x14ac:dyDescent="0.35">
      <c r="A1" s="12" t="s">
        <v>10</v>
      </c>
      <c r="B1" s="12"/>
      <c r="F1" s="12" t="s">
        <v>13</v>
      </c>
      <c r="G1" s="12"/>
      <c r="H1" s="8"/>
      <c r="I1" s="8"/>
      <c r="J1" s="8"/>
      <c r="L1" s="12" t="s">
        <v>9</v>
      </c>
      <c r="M1" s="12"/>
    </row>
    <row r="3" spans="1:13" x14ac:dyDescent="0.35">
      <c r="A3" s="2" t="s">
        <v>5</v>
      </c>
      <c r="B3" t="s">
        <v>7</v>
      </c>
      <c r="F3" s="2" t="s">
        <v>5</v>
      </c>
      <c r="G3" t="s">
        <v>7</v>
      </c>
      <c r="I3" s="2" t="s">
        <v>7</v>
      </c>
      <c r="J3" s="2" t="s">
        <v>20</v>
      </c>
    </row>
    <row r="4" spans="1:13" x14ac:dyDescent="0.35">
      <c r="A4" s="3" t="s">
        <v>8</v>
      </c>
      <c r="F4" s="3" t="s">
        <v>30</v>
      </c>
      <c r="G4">
        <v>0</v>
      </c>
      <c r="I4" s="2" t="s">
        <v>5</v>
      </c>
      <c r="J4" t="s">
        <v>8</v>
      </c>
      <c r="K4" t="s">
        <v>6</v>
      </c>
    </row>
    <row r="5" spans="1:13" x14ac:dyDescent="0.35">
      <c r="A5" s="3" t="s">
        <v>6</v>
      </c>
      <c r="F5" s="10" t="s">
        <v>15</v>
      </c>
      <c r="G5">
        <v>0</v>
      </c>
      <c r="I5" s="3" t="s">
        <v>8</v>
      </c>
    </row>
    <row r="6" spans="1:13" x14ac:dyDescent="0.35">
      <c r="F6" s="10" t="s">
        <v>16</v>
      </c>
      <c r="G6">
        <v>0</v>
      </c>
      <c r="I6" s="3" t="s">
        <v>6</v>
      </c>
    </row>
    <row r="7" spans="1:13" x14ac:dyDescent="0.35">
      <c r="F7" s="10" t="s">
        <v>17</v>
      </c>
      <c r="G7">
        <v>0</v>
      </c>
    </row>
    <row r="8" spans="1:13" x14ac:dyDescent="0.35">
      <c r="F8" s="10" t="s">
        <v>21</v>
      </c>
      <c r="G8">
        <v>0</v>
      </c>
    </row>
    <row r="9" spans="1:13" x14ac:dyDescent="0.35">
      <c r="F9" s="10" t="s">
        <v>22</v>
      </c>
      <c r="G9">
        <v>0</v>
      </c>
    </row>
    <row r="10" spans="1:13" x14ac:dyDescent="0.35">
      <c r="F10" s="10" t="s">
        <v>23</v>
      </c>
      <c r="G10">
        <v>0</v>
      </c>
    </row>
    <row r="11" spans="1:13" x14ac:dyDescent="0.35">
      <c r="F11" s="10" t="s">
        <v>24</v>
      </c>
      <c r="G11">
        <v>0</v>
      </c>
    </row>
    <row r="12" spans="1:13" x14ac:dyDescent="0.35">
      <c r="F12" s="10" t="s">
        <v>25</v>
      </c>
      <c r="G12">
        <v>0</v>
      </c>
    </row>
    <row r="13" spans="1:13" x14ac:dyDescent="0.35">
      <c r="F13" s="10" t="s">
        <v>26</v>
      </c>
      <c r="G13">
        <v>0</v>
      </c>
    </row>
    <row r="14" spans="1:13" x14ac:dyDescent="0.35">
      <c r="F14" s="10" t="s">
        <v>27</v>
      </c>
      <c r="G14">
        <v>0</v>
      </c>
    </row>
    <row r="15" spans="1:13" x14ac:dyDescent="0.35">
      <c r="F15" s="10" t="s">
        <v>28</v>
      </c>
      <c r="G15">
        <v>0</v>
      </c>
    </row>
    <row r="16" spans="1:13" x14ac:dyDescent="0.35">
      <c r="F16" s="10" t="s">
        <v>29</v>
      </c>
      <c r="G16">
        <v>0</v>
      </c>
    </row>
    <row r="17" spans="6:7" x14ac:dyDescent="0.35">
      <c r="F17" s="3" t="s">
        <v>6</v>
      </c>
      <c r="G17">
        <v>0</v>
      </c>
    </row>
  </sheetData>
  <mergeCells count="3">
    <mergeCell ref="A1:B1"/>
    <mergeCell ref="F1:G1"/>
    <mergeCell ref="L1:M1"/>
  </mergeCells>
  <pageMargins left="0.7" right="0.7" top="0.75" bottom="0.75" header="0.3" footer="0.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419DE-2A44-410A-B194-9428289A1113}">
  <sheetPr codeName="Sheet3"/>
  <dimension ref="A1:N15"/>
  <sheetViews>
    <sheetView showGridLines="0" topLeftCell="A2" workbookViewId="0">
      <selection activeCell="A4" sqref="A4"/>
    </sheetView>
  </sheetViews>
  <sheetFormatPr defaultRowHeight="14.5" x14ac:dyDescent="0.35"/>
  <cols>
    <col min="1" max="1" width="10.08984375" bestFit="1" customWidth="1"/>
    <col min="2" max="2" width="18" bestFit="1" customWidth="1"/>
    <col min="3" max="3" width="9.6328125" customWidth="1"/>
    <col min="4" max="5" width="8.7265625" style="5"/>
    <col min="6" max="6" width="10.08984375" bestFit="1" customWidth="1"/>
    <col min="7" max="7" width="13.81640625" bestFit="1" customWidth="1"/>
    <col min="8" max="8" width="9.6328125" customWidth="1"/>
    <col min="9" max="10" width="8.7265625" style="5"/>
    <col min="11" max="11" width="10.08984375" bestFit="1" customWidth="1"/>
    <col min="12" max="12" width="9.6328125" customWidth="1"/>
  </cols>
  <sheetData>
    <row r="1" spans="1:14" x14ac:dyDescent="0.35">
      <c r="A1" s="13" t="s">
        <v>3</v>
      </c>
      <c r="B1" s="13"/>
      <c r="C1" s="13"/>
      <c r="F1" s="14" t="s">
        <v>4</v>
      </c>
      <c r="G1" s="14"/>
      <c r="H1" s="14"/>
      <c r="K1" s="15" t="s">
        <v>12</v>
      </c>
      <c r="L1" s="15"/>
      <c r="N1" t="s">
        <v>11</v>
      </c>
    </row>
    <row r="2" spans="1:14" x14ac:dyDescent="0.35">
      <c r="A2" s="13"/>
      <c r="B2" s="13"/>
      <c r="C2" s="13"/>
      <c r="F2" s="14"/>
      <c r="G2" s="14"/>
      <c r="H2" s="14"/>
      <c r="K2" s="15"/>
      <c r="L2" s="15"/>
    </row>
    <row r="3" spans="1:14" x14ac:dyDescent="0.35">
      <c r="A3" t="s">
        <v>0</v>
      </c>
      <c r="B3" t="s">
        <v>2</v>
      </c>
      <c r="C3" t="s">
        <v>1</v>
      </c>
      <c r="F3" t="s">
        <v>0</v>
      </c>
      <c r="G3" t="s">
        <v>2</v>
      </c>
      <c r="H3" t="s">
        <v>1</v>
      </c>
      <c r="K3" t="s">
        <v>0</v>
      </c>
      <c r="L3" t="s">
        <v>1</v>
      </c>
    </row>
    <row r="4" spans="1:14" x14ac:dyDescent="0.35">
      <c r="K4" s="6">
        <v>44927</v>
      </c>
      <c r="L4">
        <f>SUMIFS(Table2[Amount],Table2[Date],"&gt;="&amp;K4,Table2[Date],"&lt;="&amp;EOMONTH(K4,0))-SUMIFS(Table1[Amount],Table1[Date],"&gt;="&amp;K4,Table1[Date],"&lt;="&amp;EOMONTH(K4,0))</f>
        <v>0</v>
      </c>
    </row>
    <row r="5" spans="1:14" x14ac:dyDescent="0.35">
      <c r="K5" s="6">
        <v>44958</v>
      </c>
      <c r="L5">
        <f>SUMIFS(Table2[Amount],Table2[Date],"&gt;="&amp;K5,Table2[Date],"&lt;="&amp;EOMONTH(K5,0))-SUMIFS(Table1[Amount],Table1[Date],"&gt;="&amp;K5,Table1[Date],"&lt;="&amp;EOMONTH(K5,0))</f>
        <v>0</v>
      </c>
    </row>
    <row r="6" spans="1:14" x14ac:dyDescent="0.35">
      <c r="K6" s="6">
        <v>44986</v>
      </c>
      <c r="L6">
        <f>SUMIFS(Table2[Amount],Table2[Date],"&gt;="&amp;K6,Table2[Date],"&lt;="&amp;EOMONTH(K6,0))-SUMIFS(Table1[Amount],Table1[Date],"&gt;="&amp;K6,Table1[Date],"&lt;="&amp;EOMONTH(K6,0))</f>
        <v>0</v>
      </c>
    </row>
    <row r="7" spans="1:14" x14ac:dyDescent="0.35">
      <c r="K7" s="6">
        <v>45017</v>
      </c>
      <c r="L7">
        <f>SUMIFS(Table2[Amount],Table2[Date],"&gt;="&amp;K7,Table2[Date],"&lt;="&amp;EOMONTH(K7,0))-SUMIFS(Table1[Amount],Table1[Date],"&gt;="&amp;K7,Table1[Date],"&lt;="&amp;EOMONTH(K7,0))</f>
        <v>0</v>
      </c>
    </row>
    <row r="8" spans="1:14" x14ac:dyDescent="0.35">
      <c r="K8" s="6">
        <v>45047</v>
      </c>
      <c r="L8">
        <f>SUMIFS(Table2[Amount],Table2[Date],"&gt;="&amp;K8,Table2[Date],"&lt;="&amp;EOMONTH(K8,0))-SUMIFS(Table1[Amount],Table1[Date],"&gt;="&amp;K8,Table1[Date],"&lt;="&amp;EOMONTH(K8,0))</f>
        <v>0</v>
      </c>
    </row>
    <row r="9" spans="1:14" x14ac:dyDescent="0.35">
      <c r="K9" s="6">
        <v>45078</v>
      </c>
      <c r="L9">
        <f>SUMIFS(Table2[Amount],Table2[Date],"&gt;="&amp;K9,Table2[Date],"&lt;="&amp;EOMONTH(K9,0))-SUMIFS(Table1[Amount],Table1[Date],"&gt;="&amp;K9,Table1[Date],"&lt;="&amp;EOMONTH(K9,0))</f>
        <v>0</v>
      </c>
    </row>
    <row r="10" spans="1:14" x14ac:dyDescent="0.35">
      <c r="K10" s="6">
        <v>45108</v>
      </c>
      <c r="L10">
        <f>SUMIFS(Table2[Amount],Table2[Date],"&gt;="&amp;K10,Table2[Date],"&lt;="&amp;EOMONTH(K10,0))-SUMIFS(Table1[Amount],Table1[Date],"&gt;="&amp;K10,Table1[Date],"&lt;="&amp;EOMONTH(K10,0))</f>
        <v>0</v>
      </c>
    </row>
    <row r="11" spans="1:14" x14ac:dyDescent="0.35">
      <c r="K11" s="6">
        <v>45139</v>
      </c>
      <c r="L11">
        <f>SUMIFS(Table2[Amount],Table2[Date],"&gt;="&amp;K11,Table2[Date],"&lt;="&amp;EOMONTH(K11,0))-SUMIFS(Table1[Amount],Table1[Date],"&gt;="&amp;K11,Table1[Date],"&lt;="&amp;EOMONTH(K11,0))</f>
        <v>0</v>
      </c>
    </row>
    <row r="12" spans="1:14" x14ac:dyDescent="0.35">
      <c r="K12" s="6">
        <v>45170</v>
      </c>
      <c r="L12">
        <f>SUMIFS(Table2[Amount],Table2[Date],"&gt;="&amp;K12,Table2[Date],"&lt;="&amp;EOMONTH(K12,0))-SUMIFS(Table1[Amount],Table1[Date],"&gt;="&amp;K12,Table1[Date],"&lt;="&amp;EOMONTH(K12,0))</f>
        <v>0</v>
      </c>
    </row>
    <row r="13" spans="1:14" x14ac:dyDescent="0.35">
      <c r="K13" s="6">
        <v>45200</v>
      </c>
      <c r="L13">
        <f>SUMIFS(Table2[Amount],Table2[Date],"&gt;="&amp;K13,Table2[Date],"&lt;="&amp;EOMONTH(K13,0))-SUMIFS(Table1[Amount],Table1[Date],"&gt;="&amp;K13,Table1[Date],"&lt;="&amp;EOMONTH(K13,0))</f>
        <v>0</v>
      </c>
    </row>
    <row r="14" spans="1:14" x14ac:dyDescent="0.35">
      <c r="K14" s="6">
        <v>45231</v>
      </c>
      <c r="L14">
        <f>SUMIFS(Table2[Amount],Table2[Date],"&gt;="&amp;K14,Table2[Date],"&lt;="&amp;EOMONTH(K14,0))-SUMIFS(Table1[Amount],Table1[Date],"&gt;="&amp;K14,Table1[Date],"&lt;="&amp;EOMONTH(K14,0))</f>
        <v>0</v>
      </c>
    </row>
    <row r="15" spans="1:14" x14ac:dyDescent="0.35">
      <c r="K15" s="6">
        <v>45261</v>
      </c>
      <c r="L15">
        <f>SUMIFS(Table2[Amount],Table2[Date],"&gt;="&amp;K15,Table2[Date],"&lt;="&amp;EOMONTH(K15,0))-SUMIFS(Table1[Amount],Table1[Date],"&gt;="&amp;K15,Table1[Date],"&lt;="&amp;EOMONTH(K15,0))</f>
        <v>0</v>
      </c>
    </row>
  </sheetData>
  <mergeCells count="3">
    <mergeCell ref="A1:C2"/>
    <mergeCell ref="F1:H2"/>
    <mergeCell ref="K1:L2"/>
  </mergeCells>
  <pageMargins left="0.7" right="0.7" top="0.75" bottom="0.75" header="0.3" footer="0.3"/>
  <pageSetup paperSize="9" orientation="portrait" r:id="rId1"/>
  <tableParts count="3">
    <tablePart r:id="rId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A1A30-51A5-4DDD-8CD7-6EE931F27129}">
  <sheetPr codeName="Sheet4"/>
  <dimension ref="B22:AA23"/>
  <sheetViews>
    <sheetView showGridLines="0" zoomScale="80" zoomScaleNormal="80" workbookViewId="0">
      <selection activeCell="K23" sqref="K23"/>
    </sheetView>
  </sheetViews>
  <sheetFormatPr defaultRowHeight="14.5" x14ac:dyDescent="0.35"/>
  <cols>
    <col min="12" max="12" width="8.7265625" style="7"/>
    <col min="21" max="21" width="8.7265625" style="7"/>
  </cols>
  <sheetData>
    <row r="22" spans="2:27" x14ac:dyDescent="0.35">
      <c r="B22" s="17" t="s">
        <v>14</v>
      </c>
      <c r="C22" s="17"/>
      <c r="D22" s="17"/>
      <c r="E22" s="17">
        <f>GETPIVOTDATA("Amount",'Pivot Table'!$A$3)</f>
        <v>0</v>
      </c>
      <c r="F22" s="17"/>
      <c r="N22" s="18" t="s">
        <v>18</v>
      </c>
      <c r="O22" s="18"/>
      <c r="P22" s="18"/>
      <c r="Q22" s="18">
        <f>GETPIVOTDATA("Amount",'Pivot Table'!$F$3)</f>
        <v>0</v>
      </c>
      <c r="R22" s="18"/>
      <c r="W22" s="16" t="s">
        <v>19</v>
      </c>
      <c r="X22" s="16"/>
      <c r="Y22" s="16"/>
      <c r="Z22" s="16">
        <f>GETPIVOTDATA("Amount",'Pivot Table'!$I$3)</f>
        <v>0</v>
      </c>
      <c r="AA22" s="16"/>
    </row>
    <row r="23" spans="2:27" x14ac:dyDescent="0.35">
      <c r="B23" s="17"/>
      <c r="C23" s="17"/>
      <c r="D23" s="17"/>
      <c r="E23" s="17"/>
      <c r="F23" s="17"/>
      <c r="N23" s="18"/>
      <c r="O23" s="18"/>
      <c r="P23" s="18"/>
      <c r="Q23" s="18"/>
      <c r="R23" s="18"/>
      <c r="W23" s="16"/>
      <c r="X23" s="16"/>
      <c r="Y23" s="16"/>
      <c r="Z23" s="16"/>
      <c r="AA23" s="16"/>
    </row>
  </sheetData>
  <mergeCells count="6">
    <mergeCell ref="Z22:AA23"/>
    <mergeCell ref="B22:D23"/>
    <mergeCell ref="E22:F23"/>
    <mergeCell ref="N22:P23"/>
    <mergeCell ref="Q22:R23"/>
    <mergeCell ref="W22:Y23"/>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Home</vt:lpstr>
      <vt:lpstr>Pivot Table</vt:lpstr>
      <vt:lpstr>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hemant yadav</dc:creator>
  <cp:lastModifiedBy>Jayant Yadav</cp:lastModifiedBy>
  <dcterms:created xsi:type="dcterms:W3CDTF">2021-12-28T10:42:27Z</dcterms:created>
  <dcterms:modified xsi:type="dcterms:W3CDTF">2023-02-07T14:38:27Z</dcterms:modified>
</cp:coreProperties>
</file>